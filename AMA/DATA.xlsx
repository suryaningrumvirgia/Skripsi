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ocuments\Semester 8\TA\Coding\Skripsey\AMA\"/>
    </mc:Choice>
  </mc:AlternateContent>
  <bookViews>
    <workbookView xWindow="0" yWindow="0" windowWidth="15345" windowHeight="3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" i="2"/>
  <c r="F37" i="1" l="1"/>
  <c r="J36" i="1" l="1"/>
  <c r="I36" i="1" s="1"/>
  <c r="J5" i="1"/>
  <c r="I5" i="1" s="1"/>
  <c r="J6" i="1"/>
  <c r="I6" i="1" s="1"/>
  <c r="J7" i="1"/>
  <c r="I7" i="1" s="1"/>
  <c r="J8" i="1"/>
  <c r="I8" i="1" s="1"/>
  <c r="J9" i="1"/>
  <c r="I9" i="1" s="1"/>
  <c r="J10" i="1"/>
  <c r="I10" i="1" s="1"/>
  <c r="J11" i="1"/>
  <c r="I11" i="1" s="1"/>
  <c r="J12" i="1"/>
  <c r="I12" i="1" s="1"/>
  <c r="J13" i="1"/>
  <c r="I13" i="1" s="1"/>
  <c r="J14" i="1"/>
  <c r="I14" i="1" s="1"/>
  <c r="J15" i="1"/>
  <c r="I15" i="1" s="1"/>
  <c r="J16" i="1"/>
  <c r="I16" i="1" s="1"/>
  <c r="J17" i="1"/>
  <c r="I17" i="1" s="1"/>
  <c r="J18" i="1"/>
  <c r="I18" i="1" s="1"/>
  <c r="J19" i="1"/>
  <c r="I19" i="1" s="1"/>
  <c r="J20" i="1"/>
  <c r="I20" i="1" s="1"/>
  <c r="J21" i="1"/>
  <c r="I21" i="1" s="1"/>
  <c r="J22" i="1"/>
  <c r="I22" i="1" s="1"/>
  <c r="J23" i="1"/>
  <c r="I23" i="1" s="1"/>
  <c r="J24" i="1"/>
  <c r="I24" i="1" s="1"/>
  <c r="J25" i="1"/>
  <c r="I25" i="1" s="1"/>
  <c r="J26" i="1"/>
  <c r="I26" i="1" s="1"/>
  <c r="J27" i="1"/>
  <c r="I27" i="1" s="1"/>
  <c r="J28" i="1"/>
  <c r="I28" i="1" s="1"/>
  <c r="J29" i="1"/>
  <c r="I29" i="1" s="1"/>
  <c r="J30" i="1"/>
  <c r="I30" i="1" s="1"/>
  <c r="J31" i="1"/>
  <c r="I31" i="1" s="1"/>
  <c r="J32" i="1"/>
  <c r="I32" i="1" s="1"/>
  <c r="J33" i="1"/>
  <c r="I33" i="1" s="1"/>
  <c r="J34" i="1"/>
  <c r="I34" i="1" s="1"/>
  <c r="J35" i="1"/>
  <c r="I35" i="1" s="1"/>
  <c r="D26" i="2" l="1"/>
  <c r="I26" i="2" s="1"/>
  <c r="D27" i="2"/>
  <c r="I27" i="2" s="1"/>
  <c r="D28" i="2"/>
  <c r="I28" i="2" s="1"/>
  <c r="D29" i="2"/>
  <c r="I29" i="2" s="1"/>
  <c r="D30" i="2"/>
  <c r="I30" i="2" s="1"/>
  <c r="D31" i="2"/>
  <c r="I31" i="2" s="1"/>
  <c r="D32" i="2"/>
  <c r="I32" i="2" s="1"/>
  <c r="D33" i="2"/>
  <c r="I33" i="2" s="1"/>
  <c r="D34" i="2"/>
  <c r="I34" i="2" s="1"/>
  <c r="D35" i="2"/>
  <c r="I35" i="2" s="1"/>
  <c r="I6" i="2" l="1"/>
  <c r="J4" i="1"/>
  <c r="I4" i="1" s="1"/>
  <c r="I37" i="1" s="1"/>
  <c r="D3" i="2"/>
  <c r="I3" i="2" s="1"/>
  <c r="D4" i="2"/>
  <c r="I4" i="2" s="1"/>
  <c r="D5" i="2"/>
  <c r="I5" i="2" s="1"/>
  <c r="D6" i="2"/>
  <c r="D7" i="2"/>
  <c r="I7" i="2" s="1"/>
  <c r="D8" i="2"/>
  <c r="I8" i="2" s="1"/>
  <c r="D9" i="2"/>
  <c r="I9" i="2" s="1"/>
  <c r="D10" i="2"/>
  <c r="I10" i="2" s="1"/>
  <c r="D11" i="2"/>
  <c r="I11" i="2" s="1"/>
  <c r="D12" i="2"/>
  <c r="I12" i="2" s="1"/>
  <c r="D13" i="2"/>
  <c r="I13" i="2" s="1"/>
  <c r="D14" i="2"/>
  <c r="I14" i="2" s="1"/>
  <c r="D15" i="2"/>
  <c r="I15" i="2" s="1"/>
  <c r="D16" i="2"/>
  <c r="I16" i="2" s="1"/>
  <c r="D17" i="2"/>
  <c r="I17" i="2" s="1"/>
  <c r="D18" i="2"/>
  <c r="I18" i="2" s="1"/>
  <c r="D19" i="2"/>
  <c r="I19" i="2" s="1"/>
  <c r="D20" i="2"/>
  <c r="I20" i="2" s="1"/>
  <c r="D21" i="2"/>
  <c r="I21" i="2" s="1"/>
  <c r="D22" i="2"/>
  <c r="I22" i="2" s="1"/>
  <c r="D23" i="2"/>
  <c r="I23" i="2" s="1"/>
  <c r="D24" i="2"/>
  <c r="I24" i="2" s="1"/>
  <c r="D25" i="2"/>
  <c r="I25" i="2" s="1"/>
</calcChain>
</file>

<file path=xl/sharedStrings.xml><?xml version="1.0" encoding="utf-8"?>
<sst xmlns="http://schemas.openxmlformats.org/spreadsheetml/2006/main" count="221" uniqueCount="108">
  <si>
    <t>No.</t>
  </si>
  <si>
    <t>Titik Lokasi</t>
  </si>
  <si>
    <t>Waktu Pesanan</t>
  </si>
  <si>
    <t>Jumlah Pesanan</t>
  </si>
  <si>
    <t>Pondok Edelweis</t>
  </si>
  <si>
    <t>Pondok Reni</t>
  </si>
  <si>
    <t>D'Cattleya</t>
  </si>
  <si>
    <t>Wangsarajasa</t>
  </si>
  <si>
    <t>Easton</t>
  </si>
  <si>
    <t>Kost Griya Nawaloka</t>
  </si>
  <si>
    <t>Bunga Mas</t>
  </si>
  <si>
    <t>Pondok Family</t>
  </si>
  <si>
    <t>Saung Ambu</t>
  </si>
  <si>
    <t>Pondok Kamila</t>
  </si>
  <si>
    <t>Wisma Putri Nabilla</t>
  </si>
  <si>
    <t>Latitude</t>
  </si>
  <si>
    <t>Longitude</t>
  </si>
  <si>
    <t>Awani Studento 2</t>
  </si>
  <si>
    <t>SLA Limit</t>
  </si>
  <si>
    <t>Warung Bubur Ayam Berkah Pak Amir</t>
  </si>
  <si>
    <t>Pondok Eshan</t>
  </si>
  <si>
    <t>Pondok Yulia</t>
  </si>
  <si>
    <t>Casa de la madre</t>
  </si>
  <si>
    <t>Wisma Syariah Putri</t>
  </si>
  <si>
    <t>Pondok Dian</t>
  </si>
  <si>
    <t>Puri Tiga Dara</t>
  </si>
  <si>
    <t>Pondok Abah Uni</t>
  </si>
  <si>
    <t>Villa Merah</t>
  </si>
  <si>
    <t>Order Time</t>
  </si>
  <si>
    <t>Pondok Mojang MTRI</t>
  </si>
  <si>
    <t>Waktu Masuk Pesanan</t>
  </si>
  <si>
    <t xml:space="preserve">Waktu Sampai ke pelanggan </t>
  </si>
  <si>
    <t>Prep Time</t>
  </si>
  <si>
    <t>Unpad Kandaga</t>
  </si>
  <si>
    <t>Pondok Delima</t>
  </si>
  <si>
    <t>Pondok Pampila</t>
  </si>
  <si>
    <t>Pondok Fadilla</t>
  </si>
  <si>
    <t>Rumah Kost Mama</t>
  </si>
  <si>
    <t>Pondok Arjuna</t>
  </si>
  <si>
    <t>Waktu Terlambat</t>
  </si>
  <si>
    <t>Kost Jacopo</t>
  </si>
  <si>
    <t>-6.931605306654349</t>
  </si>
  <si>
    <t>107.77756229451887</t>
  </si>
  <si>
    <t>-6.933427581121922</t>
  </si>
  <si>
    <t xml:space="preserve"> 107.77570919636636</t>
  </si>
  <si>
    <t>-6.928915631166763</t>
  </si>
  <si>
    <t>107.7818123098603</t>
  </si>
  <si>
    <t>-6.934250632768988</t>
  </si>
  <si>
    <t>107.77548122335429</t>
  </si>
  <si>
    <t>-6.932748434100871</t>
  </si>
  <si>
    <t>107.77535432150677</t>
  </si>
  <si>
    <t>-6.941723238028267</t>
  </si>
  <si>
    <t>107.77338219451906</t>
  </si>
  <si>
    <t>-6.93566587205065</t>
  </si>
  <si>
    <t>107.7653669095793</t>
  </si>
  <si>
    <t>-6.931388558388707</t>
  </si>
  <si>
    <t>107.77796883543253</t>
  </si>
  <si>
    <t>-6.935830170029567</t>
  </si>
  <si>
    <t>107.775255624862</t>
  </si>
  <si>
    <t>-6.937709238326698</t>
  </si>
  <si>
    <t>107.76318170801292</t>
  </si>
  <si>
    <t>-6.941069937235362</t>
  </si>
  <si>
    <t>107.76626480986042</t>
  </si>
  <si>
    <t>-6.933358674537885</t>
  </si>
  <si>
    <t>107.77712205487317</t>
  </si>
  <si>
    <t>-6.932428270560457</t>
  </si>
  <si>
    <t>107.77638234205055</t>
  </si>
  <si>
    <t>-6.934988787621002</t>
  </si>
  <si>
    <t>107.77462632150693</t>
  </si>
  <si>
    <t>-6.936284637164669</t>
  </si>
  <si>
    <t>107.77326580986035</t>
  </si>
  <si>
    <t>-6.924103683697001</t>
  </si>
  <si>
    <t>107.77914082520157</t>
  </si>
  <si>
    <t>Pondok Reiza</t>
  </si>
  <si>
    <t>-6.935791639367849</t>
  </si>
  <si>
    <t>107.77077091418153</t>
  </si>
  <si>
    <t>-6.936633936117592</t>
  </si>
  <si>
    <t>107.76357495218967</t>
  </si>
  <si>
    <t>-6.934594038519328</t>
  </si>
  <si>
    <t>107.77684982150683</t>
  </si>
  <si>
    <t>-6.938510539149997</t>
  </si>
  <si>
    <t>107.77397376568364</t>
  </si>
  <si>
    <t>107.77398440829305</t>
  </si>
  <si>
    <t>-6.934654788066943</t>
  </si>
  <si>
    <t>Kost Avicena</t>
  </si>
  <si>
    <t>-6.93618757207842</t>
  </si>
  <si>
    <t>107.77500489972165</t>
  </si>
  <si>
    <t>-6.932735434868364</t>
  </si>
  <si>
    <t>107.77820072335416</t>
  </si>
  <si>
    <t>-6.930210783228452</t>
  </si>
  <si>
    <t>107.78038932520168</t>
  </si>
  <si>
    <t>-6.939037189574593</t>
  </si>
  <si>
    <t>107.77399662150694</t>
  </si>
  <si>
    <t>-6.924567631001777</t>
  </si>
  <si>
    <t>107.78043956568348</t>
  </si>
  <si>
    <t>-6.935559521500639</t>
  </si>
  <si>
    <t>107.77756563835607</t>
  </si>
  <si>
    <t>-6.934664133039671</t>
  </si>
  <si>
    <t>107.77882120801289</t>
  </si>
  <si>
    <t>-6.938522537098205</t>
  </si>
  <si>
    <t>107.76596723869574</t>
  </si>
  <si>
    <t>-6.928046132647932</t>
  </si>
  <si>
    <t>107.77556176753096</t>
  </si>
  <si>
    <t>-6.929086785492609</t>
  </si>
  <si>
    <t>107.77894027733004</t>
  </si>
  <si>
    <t>-6.9319911779322245</t>
  </si>
  <si>
    <t>107.77757584243736</t>
  </si>
  <si>
    <t>-6.933756405453592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</si>
</sst>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h:mm;@"/>
    <numFmt numFmtId="165" formatCode="0.00000000000"/>
    <numFmt numFmtId="168" formatCode="0.00000000000000"/>
    <numFmt numFmtId="169" formatCode="hh: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rgb="FFC5E0B4"/>
      </patternFill>
    </fill>
    <fill>
      <patternFill patternType="solid">
        <fgColor theme="5" tint="0.79998168889431442"/>
        <bgColor rgb="FFB4C7E7"/>
      </patternFill>
    </fill>
    <fill>
      <patternFill patternType="solid">
        <fgColor theme="4" tint="0.59999389629810485"/>
        <bgColor rgb="FFC5E0B4"/>
      </patternFill>
    </fill>
    <fill>
      <patternFill patternType="solid">
        <fgColor theme="4" tint="0.59999389629810485"/>
        <bgColor rgb="FFB4C7E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DEDE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rgb="FFEDEDED"/>
      </patternFill>
    </fill>
    <fill>
      <patternFill patternType="solid">
        <fgColor theme="5" tint="0.39997558519241921"/>
        <bgColor rgb="FFE2EFDA"/>
      </patternFill>
    </fill>
    <fill>
      <patternFill patternType="solid">
        <fgColor theme="5" tint="0.39997558519241921"/>
        <bgColor rgb="FFC5E0B4"/>
      </patternFill>
    </fill>
    <fill>
      <patternFill patternType="solid">
        <fgColor theme="7" tint="0.79998168889431442"/>
        <bgColor rgb="FFE2EFDA"/>
      </patternFill>
    </fill>
    <fill>
      <patternFill patternType="solid">
        <fgColor theme="7" tint="0.39997558519241921"/>
        <bgColor rgb="FFEDEDED"/>
      </patternFill>
    </fill>
    <fill>
      <patternFill patternType="solid">
        <fgColor theme="7" tint="0.79998168889431442"/>
        <bgColor rgb="FFC5E0B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EDEDED"/>
      </patternFill>
    </fill>
    <fill>
      <patternFill patternType="solid">
        <fgColor theme="2" tint="-9.9978637043366805E-2"/>
        <bgColor rgb="FFB4C7E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quotePrefix="1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64" fontId="1" fillId="0" borderId="0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168" fontId="0" fillId="0" borderId="0" xfId="0" applyNumberFormat="1" applyBorder="1"/>
    <xf numFmtId="165" fontId="0" fillId="0" borderId="0" xfId="0" applyNumberFormat="1" applyBorder="1"/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right"/>
    </xf>
    <xf numFmtId="0" fontId="0" fillId="0" borderId="1" xfId="0" applyNumberForma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165" fontId="1" fillId="0" borderId="1" xfId="0" applyNumberFormat="1" applyFont="1" applyBorder="1"/>
    <xf numFmtId="16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9" fontId="2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169" fontId="2" fillId="2" borderId="1" xfId="0" applyNumberFormat="1" applyFont="1" applyFill="1" applyBorder="1" applyAlignment="1">
      <alignment horizontal="center" vertical="center"/>
    </xf>
    <xf numFmtId="169" fontId="2" fillId="7" borderId="1" xfId="0" applyNumberFormat="1" applyFont="1" applyFill="1" applyBorder="1" applyAlignment="1">
      <alignment horizontal="center" vertical="center"/>
    </xf>
    <xf numFmtId="169" fontId="2" fillId="8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169" fontId="2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1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 vertical="center"/>
    </xf>
    <xf numFmtId="169" fontId="2" fillId="9" borderId="1" xfId="0" applyNumberFormat="1" applyFont="1" applyFill="1" applyBorder="1" applyAlignment="1">
      <alignment horizontal="center" vertical="center"/>
    </xf>
    <xf numFmtId="169" fontId="2" fillId="6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1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 vertical="center"/>
    </xf>
    <xf numFmtId="169" fontId="2" fillId="10" borderId="1" xfId="0" applyNumberFormat="1" applyFont="1" applyFill="1" applyBorder="1" applyAlignment="1">
      <alignment horizontal="center" vertical="center"/>
    </xf>
    <xf numFmtId="169" fontId="2" fillId="11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69" fontId="2" fillId="0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left" vertical="center"/>
    </xf>
    <xf numFmtId="169" fontId="2" fillId="12" borderId="1" xfId="0" applyNumberFormat="1" applyFont="1" applyFill="1" applyBorder="1" applyAlignment="1">
      <alignment horizontal="center" vertical="center"/>
    </xf>
    <xf numFmtId="0" fontId="0" fillId="13" borderId="0" xfId="0" applyFill="1"/>
    <xf numFmtId="169" fontId="2" fillId="14" borderId="1" xfId="0" applyNumberFormat="1" applyFont="1" applyFill="1" applyBorder="1" applyAlignment="1">
      <alignment horizontal="center" vertical="center"/>
    </xf>
    <xf numFmtId="169" fontId="2" fillId="15" borderId="1" xfId="0" applyNumberFormat="1" applyFont="1" applyFill="1" applyBorder="1" applyAlignment="1">
      <alignment horizontal="center" vertical="center"/>
    </xf>
    <xf numFmtId="169" fontId="2" fillId="17" borderId="1" xfId="0" applyNumberFormat="1" applyFont="1" applyFill="1" applyBorder="1" applyAlignment="1">
      <alignment horizontal="center" vertical="center"/>
    </xf>
    <xf numFmtId="169" fontId="2" fillId="18" borderId="1" xfId="0" applyNumberFormat="1" applyFont="1" applyFill="1" applyBorder="1" applyAlignment="1">
      <alignment horizontal="center" vertical="center"/>
    </xf>
    <xf numFmtId="168" fontId="1" fillId="0" borderId="0" xfId="0" applyNumberFormat="1" applyFont="1" applyBorder="1"/>
    <xf numFmtId="168" fontId="2" fillId="0" borderId="0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/>
    <xf numFmtId="0" fontId="0" fillId="20" borderId="0" xfId="0" applyFill="1"/>
    <xf numFmtId="0" fontId="1" fillId="20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left" vertical="center"/>
    </xf>
    <xf numFmtId="169" fontId="2" fillId="20" borderId="1" xfId="0" applyNumberFormat="1" applyFont="1" applyFill="1" applyBorder="1" applyAlignment="1">
      <alignment horizontal="center" vertical="center"/>
    </xf>
    <xf numFmtId="169" fontId="2" fillId="21" borderId="1" xfId="0" applyNumberFormat="1" applyFont="1" applyFill="1" applyBorder="1" applyAlignment="1">
      <alignment horizontal="center" vertical="center"/>
    </xf>
    <xf numFmtId="0" fontId="2" fillId="3" borderId="1" xfId="0" quotePrefix="1" applyNumberFormat="1" applyFont="1" applyFill="1" applyBorder="1" applyAlignment="1">
      <alignment horizontal="right" vertical="center"/>
    </xf>
    <xf numFmtId="0" fontId="2" fillId="5" borderId="1" xfId="0" quotePrefix="1" applyNumberFormat="1" applyFont="1" applyFill="1" applyBorder="1" applyAlignment="1">
      <alignment horizontal="right" vertical="center"/>
    </xf>
    <xf numFmtId="168" fontId="1" fillId="0" borderId="1" xfId="0" quotePrefix="1" applyNumberFormat="1" applyFont="1" applyBorder="1" applyAlignment="1">
      <alignment horizontal="right"/>
    </xf>
    <xf numFmtId="165" fontId="1" fillId="0" borderId="1" xfId="0" quotePrefix="1" applyNumberFormat="1" applyFont="1" applyBorder="1" applyAlignment="1">
      <alignment horizontal="right"/>
    </xf>
    <xf numFmtId="0" fontId="2" fillId="7" borderId="1" xfId="0" quotePrefix="1" applyNumberFormat="1" applyFont="1" applyFill="1" applyBorder="1" applyAlignment="1">
      <alignment horizontal="right" vertical="center"/>
    </xf>
    <xf numFmtId="0" fontId="2" fillId="8" borderId="1" xfId="0" quotePrefix="1" applyNumberFormat="1" applyFont="1" applyFill="1" applyBorder="1" applyAlignment="1">
      <alignment horizontal="right" vertical="center"/>
    </xf>
    <xf numFmtId="0" fontId="2" fillId="6" borderId="1" xfId="0" quotePrefix="1" applyNumberFormat="1" applyFont="1" applyFill="1" applyBorder="1" applyAlignment="1">
      <alignment horizontal="right" vertical="center"/>
    </xf>
    <xf numFmtId="0" fontId="2" fillId="9" borderId="1" xfId="0" quotePrefix="1" applyNumberFormat="1" applyFont="1" applyFill="1" applyBorder="1" applyAlignment="1">
      <alignment horizontal="right" vertical="center"/>
    </xf>
    <xf numFmtId="0" fontId="2" fillId="11" borderId="1" xfId="0" quotePrefix="1" applyNumberFormat="1" applyFont="1" applyFill="1" applyBorder="1" applyAlignment="1">
      <alignment horizontal="right" vertical="center"/>
    </xf>
    <xf numFmtId="0" fontId="2" fillId="16" borderId="1" xfId="0" quotePrefix="1" applyNumberFormat="1" applyFont="1" applyFill="1" applyBorder="1" applyAlignment="1">
      <alignment horizontal="right" vertical="center"/>
    </xf>
    <xf numFmtId="0" fontId="2" fillId="19" borderId="1" xfId="0" quotePrefix="1" applyNumberFormat="1" applyFont="1" applyFill="1" applyBorder="1" applyAlignment="1">
      <alignment horizontal="right" vertical="center"/>
    </xf>
    <xf numFmtId="0" fontId="2" fillId="22" borderId="1" xfId="0" quotePrefix="1" applyNumberFormat="1" applyFont="1" applyFill="1" applyBorder="1" applyAlignment="1">
      <alignment horizontal="right" vertical="center"/>
    </xf>
    <xf numFmtId="0" fontId="2" fillId="18" borderId="1" xfId="0" quotePrefix="1" applyNumberFormat="1" applyFont="1" applyFill="1" applyBorder="1" applyAlignment="1">
      <alignment horizontal="right" vertical="center"/>
    </xf>
    <xf numFmtId="0" fontId="2" fillId="21" borderId="1" xfId="0" quotePrefix="1" applyNumberFormat="1" applyFont="1" applyFill="1" applyBorder="1" applyAlignment="1">
      <alignment horizontal="right" vertical="center"/>
    </xf>
    <xf numFmtId="0" fontId="2" fillId="14" borderId="1" xfId="0" quotePrefix="1" applyNumberFormat="1" applyFont="1" applyFill="1" applyBorder="1" applyAlignment="1">
      <alignment horizontal="right" vertical="center"/>
    </xf>
    <xf numFmtId="0" fontId="2" fillId="15" borderId="1" xfId="0" quotePrefix="1" applyNumberFormat="1" applyFont="1" applyFill="1" applyBorder="1" applyAlignment="1">
      <alignment horizontal="right" vertical="center"/>
    </xf>
    <xf numFmtId="0" fontId="2" fillId="17" borderId="1" xfId="0" quotePrefix="1" applyNumberFormat="1" applyFont="1" applyFill="1" applyBorder="1" applyAlignment="1">
      <alignment horizontal="right" vertical="center"/>
    </xf>
    <xf numFmtId="0" fontId="2" fillId="0" borderId="1" xfId="0" quotePrefix="1" applyNumberFormat="1" applyFont="1" applyFill="1" applyBorder="1" applyAlignment="1">
      <alignment horizontal="right" vertical="center"/>
    </xf>
    <xf numFmtId="168" fontId="1" fillId="0" borderId="1" xfId="0" quotePrefix="1" applyNumberFormat="1" applyFont="1" applyFill="1" applyBorder="1" applyAlignment="1">
      <alignment horizontal="right"/>
    </xf>
    <xf numFmtId="165" fontId="1" fillId="0" borderId="1" xfId="0" quotePrefix="1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zoomScale="85" zoomScaleNormal="85" workbookViewId="0">
      <pane xSplit="3" topLeftCell="D1" activePane="topRight" state="frozen"/>
      <selection pane="topRight" activeCell="G17" sqref="G17"/>
    </sheetView>
  </sheetViews>
  <sheetFormatPr defaultRowHeight="15" x14ac:dyDescent="0.25"/>
  <cols>
    <col min="3" max="3" width="36.28515625" customWidth="1"/>
    <col min="4" max="4" width="19.7109375" customWidth="1"/>
    <col min="5" max="5" width="26.85546875" customWidth="1"/>
    <col min="6" max="6" width="16.85546875" customWidth="1"/>
    <col min="7" max="7" width="34.5703125" customWidth="1"/>
    <col min="8" max="8" width="32.7109375" customWidth="1"/>
    <col min="9" max="9" width="21.5703125" customWidth="1"/>
    <col min="10" max="10" width="12.28515625" style="12" customWidth="1"/>
  </cols>
  <sheetData>
    <row r="1" spans="1:32" x14ac:dyDescent="0.25">
      <c r="A1" s="4"/>
      <c r="B1" s="9"/>
      <c r="C1" s="1"/>
      <c r="D1" s="1"/>
      <c r="E1" s="4"/>
      <c r="F1" s="10"/>
      <c r="G1" s="11"/>
    </row>
    <row r="2" spans="1:32" x14ac:dyDescent="0.25">
      <c r="B2" s="1" t="s">
        <v>0</v>
      </c>
      <c r="C2" s="1" t="s">
        <v>1</v>
      </c>
      <c r="D2" s="1" t="s">
        <v>30</v>
      </c>
      <c r="E2" s="1" t="s">
        <v>31</v>
      </c>
      <c r="F2" s="1" t="s">
        <v>3</v>
      </c>
      <c r="G2" s="8" t="s">
        <v>15</v>
      </c>
      <c r="H2" s="8" t="s">
        <v>16</v>
      </c>
      <c r="I2" s="8" t="s">
        <v>39</v>
      </c>
      <c r="J2" s="8"/>
    </row>
    <row r="3" spans="1:32" x14ac:dyDescent="0.25">
      <c r="B3" s="1">
        <v>0</v>
      </c>
      <c r="C3" s="7" t="s">
        <v>19</v>
      </c>
      <c r="D3" s="1"/>
      <c r="E3" s="1"/>
      <c r="F3" s="1"/>
      <c r="G3" s="68" t="s">
        <v>107</v>
      </c>
      <c r="H3" s="69" t="s">
        <v>44</v>
      </c>
      <c r="I3" s="20"/>
      <c r="J3" s="8"/>
      <c r="K3" s="56"/>
    </row>
    <row r="4" spans="1:32" s="17" customFormat="1" x14ac:dyDescent="0.25">
      <c r="B4" s="32">
        <v>1</v>
      </c>
      <c r="C4" s="33" t="s">
        <v>9</v>
      </c>
      <c r="D4" s="34">
        <v>0.27152777777777776</v>
      </c>
      <c r="E4" s="23">
        <v>0.2986111111111111</v>
      </c>
      <c r="F4" s="22">
        <v>1</v>
      </c>
      <c r="G4" s="67" t="s">
        <v>45</v>
      </c>
      <c r="H4" s="67" t="s">
        <v>46</v>
      </c>
      <c r="I4" s="58">
        <f>IF(J4="telat",(VALUE(E4)-(VALUE(D4)+TIME(0,40,0)))*1440, 0)</f>
        <v>0</v>
      </c>
      <c r="J4" s="8" t="str">
        <f>IF(VALUE(E4) &gt; VALUE(D4) + TIME(0,40,0), "telat", "gak telat")</f>
        <v>gak telat</v>
      </c>
      <c r="K4" s="57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s="16" customFormat="1" x14ac:dyDescent="0.25">
      <c r="A5" s="17"/>
      <c r="B5" s="32">
        <v>2</v>
      </c>
      <c r="C5" s="33" t="s">
        <v>5</v>
      </c>
      <c r="D5" s="34">
        <v>0.27152777777777798</v>
      </c>
      <c r="E5" s="23">
        <v>0.30138888888888887</v>
      </c>
      <c r="F5" s="22">
        <v>1</v>
      </c>
      <c r="G5" s="66" t="s">
        <v>47</v>
      </c>
      <c r="H5" s="66" t="s">
        <v>48</v>
      </c>
      <c r="I5" s="58">
        <f t="shared" ref="I5:I36" si="0">IF(J5="telat",(VALUE(E5)-(VALUE(D5)+TIME(0,40,0)))*1440, 0)</f>
        <v>2.9999999999996696</v>
      </c>
      <c r="J5" s="8" t="str">
        <f t="shared" ref="J5:J36" si="1">IF(VALUE(E5) &gt; VALUE(D5) + TIME(0,40,0), "telat", "gak telat")</f>
        <v>telat</v>
      </c>
      <c r="K5" s="57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s="17" customFormat="1" x14ac:dyDescent="0.25">
      <c r="B6" s="32">
        <v>3</v>
      </c>
      <c r="C6" s="33" t="s">
        <v>34</v>
      </c>
      <c r="D6" s="34">
        <v>0.27569444444444502</v>
      </c>
      <c r="E6" s="23">
        <v>0.2951388888888889</v>
      </c>
      <c r="F6" s="22">
        <v>1</v>
      </c>
      <c r="G6" s="66" t="s">
        <v>41</v>
      </c>
      <c r="H6" s="66" t="s">
        <v>42</v>
      </c>
      <c r="I6" s="58">
        <f t="shared" si="0"/>
        <v>0</v>
      </c>
      <c r="J6" s="8" t="str">
        <f t="shared" si="1"/>
        <v>gak telat</v>
      </c>
      <c r="K6" s="57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s="17" customFormat="1" x14ac:dyDescent="0.25">
      <c r="B7" s="32">
        <v>4</v>
      </c>
      <c r="C7" s="33" t="s">
        <v>40</v>
      </c>
      <c r="D7" s="34">
        <v>0.28263888888888899</v>
      </c>
      <c r="E7" s="23">
        <v>0.30624999999999997</v>
      </c>
      <c r="F7" s="22">
        <v>1</v>
      </c>
      <c r="G7" s="67" t="s">
        <v>49</v>
      </c>
      <c r="H7" s="67" t="s">
        <v>50</v>
      </c>
      <c r="I7" s="58">
        <f t="shared" si="0"/>
        <v>0</v>
      </c>
      <c r="J7" s="8" t="str">
        <f t="shared" si="1"/>
        <v>gak telat</v>
      </c>
      <c r="K7" s="5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s="16" customFormat="1" x14ac:dyDescent="0.25">
      <c r="B8" s="24">
        <v>5</v>
      </c>
      <c r="C8" s="25" t="s">
        <v>22</v>
      </c>
      <c r="D8" s="26">
        <v>0.28958333333333303</v>
      </c>
      <c r="E8" s="27">
        <v>0.3125</v>
      </c>
      <c r="F8" s="22">
        <v>1</v>
      </c>
      <c r="G8" s="70" t="s">
        <v>51</v>
      </c>
      <c r="H8" s="70" t="s">
        <v>52</v>
      </c>
      <c r="I8" s="58">
        <f t="shared" si="0"/>
        <v>0</v>
      </c>
      <c r="J8" s="8" t="str">
        <f t="shared" si="1"/>
        <v>gak telat</v>
      </c>
      <c r="K8" s="57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s="16" customFormat="1" x14ac:dyDescent="0.25">
      <c r="B9" s="24">
        <v>6</v>
      </c>
      <c r="C9" s="25" t="s">
        <v>8</v>
      </c>
      <c r="D9" s="26">
        <v>0.29375000000000001</v>
      </c>
      <c r="E9" s="28">
        <v>0.31527777777777777</v>
      </c>
      <c r="F9" s="22">
        <v>1</v>
      </c>
      <c r="G9" s="71" t="s">
        <v>53</v>
      </c>
      <c r="H9" s="71" t="s">
        <v>54</v>
      </c>
      <c r="I9" s="58">
        <f t="shared" si="0"/>
        <v>0</v>
      </c>
      <c r="J9" s="8" t="str">
        <f t="shared" si="1"/>
        <v>gak telat</v>
      </c>
      <c r="K9" s="57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s="16" customFormat="1" x14ac:dyDescent="0.25">
      <c r="B10" s="24">
        <v>7</v>
      </c>
      <c r="C10" s="25" t="s">
        <v>20</v>
      </c>
      <c r="D10" s="26">
        <v>0.29513888888888901</v>
      </c>
      <c r="E10" s="28">
        <v>0.31944444444444448</v>
      </c>
      <c r="F10" s="22">
        <v>1</v>
      </c>
      <c r="G10" s="71" t="s">
        <v>55</v>
      </c>
      <c r="H10" s="71" t="s">
        <v>56</v>
      </c>
      <c r="I10" s="58">
        <f t="shared" si="0"/>
        <v>0</v>
      </c>
      <c r="J10" s="8" t="str">
        <f t="shared" si="1"/>
        <v>gak telat</v>
      </c>
      <c r="K10" s="5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s="35" customFormat="1" x14ac:dyDescent="0.25">
      <c r="B11" s="36">
        <v>8</v>
      </c>
      <c r="C11" s="37" t="s">
        <v>26</v>
      </c>
      <c r="D11" s="38">
        <v>0.295833333333333</v>
      </c>
      <c r="E11" s="39">
        <v>0.32222222222222224</v>
      </c>
      <c r="F11" s="22">
        <v>1</v>
      </c>
      <c r="G11" s="72" t="s">
        <v>57</v>
      </c>
      <c r="H11" s="72" t="s">
        <v>58</v>
      </c>
      <c r="I11" s="58">
        <f t="shared" si="0"/>
        <v>0</v>
      </c>
      <c r="J11" s="8" t="str">
        <f t="shared" si="1"/>
        <v>gak telat</v>
      </c>
      <c r="K11" s="57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s="35" customFormat="1" x14ac:dyDescent="0.25">
      <c r="B12" s="36">
        <v>9</v>
      </c>
      <c r="C12" s="37" t="s">
        <v>37</v>
      </c>
      <c r="D12" s="38">
        <v>0.30416666666666697</v>
      </c>
      <c r="E12" s="39">
        <v>0.32500000000000001</v>
      </c>
      <c r="F12" s="22">
        <v>1</v>
      </c>
      <c r="G12" s="72" t="s">
        <v>59</v>
      </c>
      <c r="H12" s="72" t="s">
        <v>60</v>
      </c>
      <c r="I12" s="58">
        <f t="shared" si="0"/>
        <v>0</v>
      </c>
      <c r="J12" s="8" t="str">
        <f t="shared" si="1"/>
        <v>gak telat</v>
      </c>
      <c r="K12" s="57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s="35" customFormat="1" x14ac:dyDescent="0.25">
      <c r="B13" s="36">
        <v>10</v>
      </c>
      <c r="C13" s="37" t="s">
        <v>7</v>
      </c>
      <c r="D13" s="38">
        <v>0.30416666666666697</v>
      </c>
      <c r="E13" s="39">
        <v>0.32847222222222222</v>
      </c>
      <c r="F13" s="22">
        <v>1</v>
      </c>
      <c r="G13" s="73" t="s">
        <v>61</v>
      </c>
      <c r="H13" s="73" t="s">
        <v>62</v>
      </c>
      <c r="I13" s="58">
        <f t="shared" si="0"/>
        <v>0</v>
      </c>
      <c r="J13" s="8" t="str">
        <f t="shared" si="1"/>
        <v>gak telat</v>
      </c>
      <c r="K13" s="57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s="18" customFormat="1" x14ac:dyDescent="0.25">
      <c r="A14" s="35"/>
      <c r="B14" s="36">
        <v>11</v>
      </c>
      <c r="C14" s="37" t="s">
        <v>12</v>
      </c>
      <c r="D14" s="38">
        <v>0.30555555555555602</v>
      </c>
      <c r="E14" s="39">
        <v>0.35000000000000003</v>
      </c>
      <c r="F14" s="22">
        <v>2</v>
      </c>
      <c r="G14" s="72" t="s">
        <v>63</v>
      </c>
      <c r="H14" s="72" t="s">
        <v>64</v>
      </c>
      <c r="I14" s="58">
        <f t="shared" si="0"/>
        <v>23.999999999999353</v>
      </c>
      <c r="J14" s="8" t="str">
        <f t="shared" si="1"/>
        <v>telat</v>
      </c>
      <c r="K14" s="57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s="18" customFormat="1" x14ac:dyDescent="0.25">
      <c r="A15" s="35"/>
      <c r="B15" s="36">
        <v>12</v>
      </c>
      <c r="C15" s="37" t="s">
        <v>10</v>
      </c>
      <c r="D15" s="38">
        <v>0.30625000000000002</v>
      </c>
      <c r="E15" s="38">
        <v>0.3576388888888889</v>
      </c>
      <c r="F15" s="22">
        <v>2</v>
      </c>
      <c r="G15" s="73" t="s">
        <v>65</v>
      </c>
      <c r="H15" s="73" t="s">
        <v>66</v>
      </c>
      <c r="I15" s="58">
        <f t="shared" si="0"/>
        <v>33.999999999999957</v>
      </c>
      <c r="J15" s="8" t="str">
        <f t="shared" si="1"/>
        <v>telat</v>
      </c>
      <c r="K15" s="57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s="40" customFormat="1" x14ac:dyDescent="0.25">
      <c r="B16" s="41">
        <v>13</v>
      </c>
      <c r="C16" s="42" t="s">
        <v>23</v>
      </c>
      <c r="D16" s="43">
        <v>0.31736111111111098</v>
      </c>
      <c r="E16" s="44">
        <v>0.33611111111111108</v>
      </c>
      <c r="F16" s="22">
        <v>3</v>
      </c>
      <c r="G16" s="74" t="s">
        <v>67</v>
      </c>
      <c r="H16" s="74" t="s">
        <v>68</v>
      </c>
      <c r="I16" s="58">
        <f t="shared" si="0"/>
        <v>0</v>
      </c>
      <c r="J16" s="8" t="str">
        <f t="shared" si="1"/>
        <v>gak telat</v>
      </c>
      <c r="K16" s="5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s="40" customFormat="1" x14ac:dyDescent="0.25">
      <c r="B17" s="41">
        <v>14</v>
      </c>
      <c r="C17" s="42" t="s">
        <v>22</v>
      </c>
      <c r="D17" s="43">
        <v>0.31874999999999998</v>
      </c>
      <c r="E17" s="44">
        <v>0.34166666666666662</v>
      </c>
      <c r="F17" s="22">
        <v>2</v>
      </c>
      <c r="G17" s="76" t="s">
        <v>51</v>
      </c>
      <c r="H17" s="76" t="s">
        <v>52</v>
      </c>
      <c r="I17" s="58">
        <f t="shared" si="0"/>
        <v>0</v>
      </c>
      <c r="J17" s="8" t="str">
        <f t="shared" si="1"/>
        <v>gak telat</v>
      </c>
      <c r="K17" s="57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s="40" customFormat="1" x14ac:dyDescent="0.25">
      <c r="B18" s="41">
        <v>15</v>
      </c>
      <c r="C18" s="42" t="s">
        <v>35</v>
      </c>
      <c r="D18" s="43">
        <v>0.31944444444444398</v>
      </c>
      <c r="E18" s="44">
        <v>0.33888888888888885</v>
      </c>
      <c r="F18" s="22">
        <v>1</v>
      </c>
      <c r="G18" s="74" t="s">
        <v>69</v>
      </c>
      <c r="H18" s="74" t="s">
        <v>70</v>
      </c>
      <c r="I18" s="58">
        <f t="shared" si="0"/>
        <v>0</v>
      </c>
      <c r="J18" s="8" t="str">
        <f t="shared" si="1"/>
        <v>gak telat</v>
      </c>
      <c r="K18" s="57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s="51" customFormat="1" x14ac:dyDescent="0.25">
      <c r="A19" s="61"/>
      <c r="B19" s="62">
        <v>16</v>
      </c>
      <c r="C19" s="63" t="s">
        <v>8</v>
      </c>
      <c r="D19" s="64">
        <v>0.32013888888888897</v>
      </c>
      <c r="E19" s="65">
        <v>0.36180555555555555</v>
      </c>
      <c r="F19" s="22">
        <v>1</v>
      </c>
      <c r="G19" s="77" t="s">
        <v>53</v>
      </c>
      <c r="H19" s="77" t="s">
        <v>54</v>
      </c>
      <c r="I19" s="58">
        <f t="shared" si="0"/>
        <v>19.999999999999851</v>
      </c>
      <c r="J19" s="8" t="str">
        <f t="shared" si="1"/>
        <v>telat</v>
      </c>
      <c r="K19" s="57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s="18" customFormat="1" x14ac:dyDescent="0.25">
      <c r="B20" s="29">
        <v>17</v>
      </c>
      <c r="C20" s="30" t="s">
        <v>4</v>
      </c>
      <c r="D20" s="31">
        <v>0.32222222222222202</v>
      </c>
      <c r="E20" s="55">
        <v>0.35486111111111113</v>
      </c>
      <c r="F20" s="22">
        <v>1</v>
      </c>
      <c r="G20" s="78" t="s">
        <v>71</v>
      </c>
      <c r="H20" s="78" t="s">
        <v>72</v>
      </c>
      <c r="I20" s="58">
        <f t="shared" si="0"/>
        <v>7.0000000000002949</v>
      </c>
      <c r="J20" s="8" t="str">
        <f t="shared" si="1"/>
        <v>telat</v>
      </c>
      <c r="K20" s="5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s="40" customFormat="1" x14ac:dyDescent="0.25">
      <c r="B21" s="41">
        <v>18</v>
      </c>
      <c r="C21" s="42" t="s">
        <v>73</v>
      </c>
      <c r="D21" s="43">
        <v>0.32222222222222202</v>
      </c>
      <c r="E21" s="44">
        <v>0.34027777777777773</v>
      </c>
      <c r="F21" s="22">
        <v>2</v>
      </c>
      <c r="G21" s="74" t="s">
        <v>74</v>
      </c>
      <c r="H21" s="74" t="s">
        <v>75</v>
      </c>
      <c r="I21" s="58">
        <f t="shared" si="0"/>
        <v>0</v>
      </c>
      <c r="J21" s="8" t="str">
        <f t="shared" si="1"/>
        <v>gak telat</v>
      </c>
      <c r="K21" s="5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s="51" customFormat="1" x14ac:dyDescent="0.25">
      <c r="A22" s="61"/>
      <c r="B22" s="62">
        <v>19</v>
      </c>
      <c r="C22" s="63" t="s">
        <v>36</v>
      </c>
      <c r="D22" s="64">
        <v>0.32500000000000001</v>
      </c>
      <c r="E22" s="65">
        <v>0.36319444444444443</v>
      </c>
      <c r="F22" s="22">
        <v>2</v>
      </c>
      <c r="G22" s="77" t="s">
        <v>76</v>
      </c>
      <c r="H22" s="77" t="s">
        <v>77</v>
      </c>
      <c r="I22" s="58">
        <f t="shared" si="0"/>
        <v>14.999999999999947</v>
      </c>
      <c r="J22" s="8" t="str">
        <f t="shared" si="1"/>
        <v>telat</v>
      </c>
      <c r="K22" s="57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s="18" customFormat="1" x14ac:dyDescent="0.25">
      <c r="B23" s="29">
        <v>20</v>
      </c>
      <c r="C23" s="30" t="s">
        <v>29</v>
      </c>
      <c r="D23" s="31">
        <v>0.33263888888888887</v>
      </c>
      <c r="E23" s="55">
        <v>0.34861111111111115</v>
      </c>
      <c r="F23" s="22">
        <v>1</v>
      </c>
      <c r="G23" s="78" t="s">
        <v>78</v>
      </c>
      <c r="H23" s="78" t="s">
        <v>79</v>
      </c>
      <c r="I23" s="58">
        <f t="shared" si="0"/>
        <v>0</v>
      </c>
      <c r="J23" s="8" t="str">
        <f t="shared" si="1"/>
        <v>gak telat</v>
      </c>
      <c r="K23" s="57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s="51" customFormat="1" x14ac:dyDescent="0.25">
      <c r="A24" s="61"/>
      <c r="B24" s="62">
        <v>21</v>
      </c>
      <c r="C24" s="63" t="s">
        <v>14</v>
      </c>
      <c r="D24" s="64">
        <v>0.33472222222222198</v>
      </c>
      <c r="E24" s="65">
        <v>0.3666666666666667</v>
      </c>
      <c r="F24" s="22">
        <v>1</v>
      </c>
      <c r="G24" s="79" t="s">
        <v>80</v>
      </c>
      <c r="H24" s="79" t="s">
        <v>81</v>
      </c>
      <c r="I24" s="58">
        <f t="shared" si="0"/>
        <v>6.0000000000003784</v>
      </c>
      <c r="J24" s="8" t="str">
        <f t="shared" si="1"/>
        <v>telat</v>
      </c>
      <c r="K24" s="57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s="17" customFormat="1" x14ac:dyDescent="0.25">
      <c r="B25" s="32">
        <v>22</v>
      </c>
      <c r="C25" s="33" t="s">
        <v>84</v>
      </c>
      <c r="D25" s="34">
        <v>0.33541666666666697</v>
      </c>
      <c r="E25" s="52">
        <v>0.37916666666666665</v>
      </c>
      <c r="F25" s="22">
        <v>3</v>
      </c>
      <c r="G25" s="80" t="s">
        <v>83</v>
      </c>
      <c r="H25" s="80" t="s">
        <v>82</v>
      </c>
      <c r="I25" s="58">
        <f t="shared" si="0"/>
        <v>22.999999999999517</v>
      </c>
      <c r="J25" s="8" t="str">
        <f t="shared" si="1"/>
        <v>telat</v>
      </c>
      <c r="K25" s="57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s="17" customFormat="1" x14ac:dyDescent="0.25">
      <c r="B26" s="32">
        <v>23</v>
      </c>
      <c r="C26" s="33" t="s">
        <v>27</v>
      </c>
      <c r="D26" s="34">
        <v>0.33680555555555602</v>
      </c>
      <c r="E26" s="52">
        <v>0.37638888888888888</v>
      </c>
      <c r="F26" s="22">
        <v>1</v>
      </c>
      <c r="G26" s="80" t="s">
        <v>85</v>
      </c>
      <c r="H26" s="80" t="s">
        <v>86</v>
      </c>
      <c r="I26" s="58">
        <f t="shared" si="0"/>
        <v>16.9999999999993</v>
      </c>
      <c r="J26" s="8" t="str">
        <f t="shared" si="1"/>
        <v>telat</v>
      </c>
      <c r="K26" s="57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s="17" customFormat="1" x14ac:dyDescent="0.25">
      <c r="A27" s="18"/>
      <c r="B27" s="29">
        <v>24</v>
      </c>
      <c r="C27" s="30" t="s">
        <v>25</v>
      </c>
      <c r="D27" s="31">
        <v>0.34236111111111101</v>
      </c>
      <c r="E27" s="55">
        <v>0.38125000000000003</v>
      </c>
      <c r="F27" s="22">
        <v>1</v>
      </c>
      <c r="G27" s="78" t="s">
        <v>87</v>
      </c>
      <c r="H27" s="78" t="s">
        <v>88</v>
      </c>
      <c r="I27" s="58">
        <f t="shared" si="0"/>
        <v>16.000000000000185</v>
      </c>
      <c r="J27" s="8" t="str">
        <f t="shared" si="1"/>
        <v>telat</v>
      </c>
      <c r="K27" s="57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s="17" customFormat="1" x14ac:dyDescent="0.25">
      <c r="A28" s="18"/>
      <c r="B28" s="29">
        <v>25</v>
      </c>
      <c r="C28" s="30" t="s">
        <v>21</v>
      </c>
      <c r="D28" s="31">
        <v>0.344444444444444</v>
      </c>
      <c r="E28" s="55">
        <v>0.37986111111111115</v>
      </c>
      <c r="F28" s="22">
        <v>1</v>
      </c>
      <c r="G28" s="78" t="s">
        <v>89</v>
      </c>
      <c r="H28" s="78" t="s">
        <v>90</v>
      </c>
      <c r="I28" s="58">
        <f t="shared" si="0"/>
        <v>11.00000000000068</v>
      </c>
      <c r="J28" s="8" t="str">
        <f t="shared" si="1"/>
        <v>telat</v>
      </c>
      <c r="K28" s="57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s="17" customFormat="1" x14ac:dyDescent="0.25">
      <c r="B29" s="32">
        <v>26</v>
      </c>
      <c r="C29" s="33" t="s">
        <v>6</v>
      </c>
      <c r="D29" s="34">
        <v>0.35</v>
      </c>
      <c r="E29" s="52">
        <v>0.37777777777777777</v>
      </c>
      <c r="F29" s="22">
        <v>1</v>
      </c>
      <c r="G29" s="80" t="s">
        <v>91</v>
      </c>
      <c r="H29" s="80" t="s">
        <v>92</v>
      </c>
      <c r="I29" s="58">
        <f t="shared" si="0"/>
        <v>0</v>
      </c>
      <c r="J29" s="8" t="str">
        <f t="shared" si="1"/>
        <v>gak telat</v>
      </c>
      <c r="K29" s="57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s="47" customFormat="1" x14ac:dyDescent="0.25">
      <c r="B30" s="48">
        <v>27</v>
      </c>
      <c r="C30" s="49" t="s">
        <v>11</v>
      </c>
      <c r="D30" s="50">
        <v>0.3611111111111111</v>
      </c>
      <c r="E30" s="53">
        <v>0.39513888888888887</v>
      </c>
      <c r="F30" s="22">
        <v>1</v>
      </c>
      <c r="G30" s="75" t="s">
        <v>93</v>
      </c>
      <c r="H30" s="75" t="s">
        <v>94</v>
      </c>
      <c r="I30" s="58">
        <f t="shared" si="0"/>
        <v>8.999999999999968</v>
      </c>
      <c r="J30" s="8" t="str">
        <f t="shared" si="1"/>
        <v>telat</v>
      </c>
      <c r="K30" s="5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s="47" customFormat="1" x14ac:dyDescent="0.25">
      <c r="B31" s="48">
        <v>28</v>
      </c>
      <c r="C31" s="49" t="s">
        <v>13</v>
      </c>
      <c r="D31" s="50">
        <v>0.37152777777777801</v>
      </c>
      <c r="E31" s="53">
        <v>0.3888888888888889</v>
      </c>
      <c r="F31" s="22">
        <v>1</v>
      </c>
      <c r="G31" s="81" t="s">
        <v>95</v>
      </c>
      <c r="H31" s="81" t="s">
        <v>96</v>
      </c>
      <c r="I31" s="58">
        <f t="shared" si="0"/>
        <v>0</v>
      </c>
      <c r="J31" s="8" t="str">
        <f t="shared" si="1"/>
        <v>gak telat</v>
      </c>
      <c r="K31" s="57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s="47" customFormat="1" x14ac:dyDescent="0.25">
      <c r="B32" s="48">
        <v>29</v>
      </c>
      <c r="C32" s="49" t="s">
        <v>24</v>
      </c>
      <c r="D32" s="50">
        <v>0.37222222222222201</v>
      </c>
      <c r="E32" s="53">
        <v>0.39097222222222222</v>
      </c>
      <c r="F32" s="22">
        <v>1</v>
      </c>
      <c r="G32" s="81" t="s">
        <v>97</v>
      </c>
      <c r="H32" s="81" t="s">
        <v>98</v>
      </c>
      <c r="I32" s="58">
        <f t="shared" si="0"/>
        <v>0</v>
      </c>
      <c r="J32" s="8" t="str">
        <f t="shared" si="1"/>
        <v>gak telat</v>
      </c>
      <c r="K32" s="57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2:32" s="40" customFormat="1" x14ac:dyDescent="0.25">
      <c r="B33" s="41">
        <v>30</v>
      </c>
      <c r="C33" s="42" t="s">
        <v>17</v>
      </c>
      <c r="D33" s="43">
        <v>0.37986111111111115</v>
      </c>
      <c r="E33" s="54">
        <v>0.40625</v>
      </c>
      <c r="F33" s="22">
        <v>2</v>
      </c>
      <c r="G33" s="82" t="s">
        <v>99</v>
      </c>
      <c r="H33" s="82" t="s">
        <v>100</v>
      </c>
      <c r="I33" s="58">
        <f t="shared" si="0"/>
        <v>0</v>
      </c>
      <c r="J33" s="8" t="str">
        <f t="shared" si="1"/>
        <v>gak telat</v>
      </c>
      <c r="K33" s="57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2:32" s="40" customFormat="1" x14ac:dyDescent="0.25">
      <c r="B34" s="41">
        <v>31</v>
      </c>
      <c r="C34" s="42" t="s">
        <v>33</v>
      </c>
      <c r="D34" s="43">
        <v>0.38541666666666702</v>
      </c>
      <c r="E34" s="54">
        <v>0.41041666666666665</v>
      </c>
      <c r="F34" s="22">
        <v>1</v>
      </c>
      <c r="G34" s="82" t="s">
        <v>101</v>
      </c>
      <c r="H34" s="82" t="s">
        <v>102</v>
      </c>
      <c r="I34" s="58">
        <f t="shared" si="0"/>
        <v>0</v>
      </c>
      <c r="J34" s="8" t="str">
        <f t="shared" si="1"/>
        <v>gak telat</v>
      </c>
      <c r="K34" s="57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2:32" s="40" customFormat="1" x14ac:dyDescent="0.25">
      <c r="B35" s="41">
        <v>32</v>
      </c>
      <c r="C35" s="42" t="s">
        <v>38</v>
      </c>
      <c r="D35" s="43">
        <v>0.3888888888888889</v>
      </c>
      <c r="E35" s="54">
        <v>0.41597222222222219</v>
      </c>
      <c r="F35" s="22">
        <v>1</v>
      </c>
      <c r="G35" s="82" t="s">
        <v>103</v>
      </c>
      <c r="H35" s="82" t="s">
        <v>104</v>
      </c>
      <c r="I35" s="58">
        <f t="shared" si="0"/>
        <v>0</v>
      </c>
      <c r="J35" s="8" t="str">
        <f t="shared" si="1"/>
        <v>gak telat</v>
      </c>
      <c r="K35" s="57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2:32" s="19" customFormat="1" x14ac:dyDescent="0.25">
      <c r="B36" s="8">
        <v>33</v>
      </c>
      <c r="C36" s="45" t="s">
        <v>24</v>
      </c>
      <c r="D36" s="46">
        <v>0.40069444444444446</v>
      </c>
      <c r="E36" s="46">
        <v>0.42152777777777778</v>
      </c>
      <c r="F36" s="22">
        <v>1</v>
      </c>
      <c r="G36" s="83" t="s">
        <v>97</v>
      </c>
      <c r="H36" s="83" t="s">
        <v>98</v>
      </c>
      <c r="I36" s="58">
        <f t="shared" si="0"/>
        <v>0</v>
      </c>
      <c r="J36" s="8" t="str">
        <f t="shared" si="1"/>
        <v>gak telat</v>
      </c>
      <c r="K36" s="57"/>
    </row>
    <row r="37" spans="2:32" x14ac:dyDescent="0.25">
      <c r="B37" s="4"/>
      <c r="C37" s="5"/>
      <c r="D37" s="6"/>
      <c r="E37" s="6"/>
      <c r="F37" s="4">
        <f>SUM(F4:F36)</f>
        <v>43</v>
      </c>
      <c r="I37" s="59">
        <f>SUM(I4:I36)</f>
        <v>184.99999999999912</v>
      </c>
      <c r="J37" s="6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2:32" x14ac:dyDescent="0.25">
      <c r="B38" s="4"/>
      <c r="C38" s="5"/>
      <c r="D38" s="6"/>
      <c r="E38" s="6"/>
      <c r="F38" s="4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spans="2:32" x14ac:dyDescent="0.25">
      <c r="B39" s="4"/>
      <c r="C39" s="5"/>
      <c r="D39" s="6"/>
      <c r="E39" s="6"/>
      <c r="F39" s="4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2:32" x14ac:dyDescent="0.25">
      <c r="B40" s="4"/>
      <c r="C40" s="5"/>
      <c r="D40" s="6"/>
      <c r="E40" s="6"/>
      <c r="F40" s="4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2:32" x14ac:dyDescent="0.25">
      <c r="B41" s="4"/>
      <c r="C41" s="5"/>
      <c r="D41" s="6"/>
      <c r="E41" s="6"/>
      <c r="F41" s="4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2:32" x14ac:dyDescent="0.25">
      <c r="B42" s="4"/>
      <c r="C42" s="5"/>
      <c r="D42" s="6"/>
      <c r="E42" s="6"/>
      <c r="F42" s="4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2:32" x14ac:dyDescent="0.25">
      <c r="B43" s="4"/>
      <c r="C43" s="5"/>
      <c r="D43" s="6"/>
      <c r="E43" s="6"/>
      <c r="F43" s="4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2:32" x14ac:dyDescent="0.25">
      <c r="B44" s="4"/>
      <c r="C44" s="5"/>
      <c r="D44" s="6"/>
      <c r="E44" s="6"/>
      <c r="F44" s="4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spans="2:32" x14ac:dyDescent="0.25">
      <c r="B45" s="4"/>
      <c r="C45" s="5"/>
      <c r="D45" s="6"/>
      <c r="E45" s="6"/>
      <c r="F45" s="4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spans="2:32" x14ac:dyDescent="0.25">
      <c r="B46" s="4"/>
      <c r="C46" s="5"/>
      <c r="D46" s="6"/>
      <c r="E46" s="6"/>
      <c r="F46" s="4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spans="2:32" x14ac:dyDescent="0.25">
      <c r="B47" s="4"/>
      <c r="C47" s="5"/>
      <c r="D47" s="6"/>
      <c r="E47" s="6"/>
      <c r="F47" s="4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2:32" x14ac:dyDescent="0.25">
      <c r="B48" s="4"/>
      <c r="C48" s="5"/>
      <c r="D48" s="6"/>
      <c r="E48" s="6"/>
      <c r="F48" s="4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2:32" x14ac:dyDescent="0.25">
      <c r="B49" s="4"/>
      <c r="C49" s="5"/>
      <c r="D49" s="6"/>
      <c r="E49" s="6"/>
      <c r="F49" s="4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2:32" x14ac:dyDescent="0.25">
      <c r="B50" s="4"/>
      <c r="C50" s="5"/>
      <c r="D50" s="6"/>
      <c r="E50" s="6"/>
      <c r="F50" s="4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2:32" x14ac:dyDescent="0.25">
      <c r="B51" s="4"/>
      <c r="C51" s="5"/>
      <c r="D51" s="6"/>
      <c r="E51" s="6"/>
      <c r="F51" s="4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2:32" x14ac:dyDescent="0.25">
      <c r="B52" s="4"/>
      <c r="C52" s="5"/>
      <c r="D52" s="6"/>
      <c r="E52" s="6"/>
      <c r="F52" s="4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  <row r="53" spans="2:32" x14ac:dyDescent="0.25">
      <c r="B53" s="4"/>
      <c r="C53" s="5"/>
      <c r="D53" s="6"/>
      <c r="E53" s="6"/>
      <c r="F53" s="4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</row>
    <row r="54" spans="2:32" x14ac:dyDescent="0.25">
      <c r="B54" s="4"/>
      <c r="C54" s="5"/>
      <c r="D54" s="6"/>
      <c r="E54" s="6"/>
      <c r="F54" s="4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5" spans="2:32" x14ac:dyDescent="0.25">
      <c r="B55" s="4"/>
      <c r="C55" s="5"/>
      <c r="D55" s="6"/>
      <c r="E55" s="6"/>
      <c r="F55" s="4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</row>
    <row r="56" spans="2:32" x14ac:dyDescent="0.25">
      <c r="B56" s="4"/>
      <c r="C56" s="5"/>
      <c r="D56" s="6"/>
      <c r="E56" s="6"/>
      <c r="F56" s="4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</row>
    <row r="57" spans="2:32" x14ac:dyDescent="0.25">
      <c r="B57" s="4"/>
      <c r="C57" s="5"/>
      <c r="D57" s="6"/>
      <c r="E57" s="6"/>
      <c r="F57" s="4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2:32" x14ac:dyDescent="0.25">
      <c r="B58" s="4"/>
      <c r="C58" s="5"/>
      <c r="D58" s="6"/>
      <c r="E58" s="6"/>
      <c r="F58" s="4"/>
    </row>
    <row r="59" spans="2:32" x14ac:dyDescent="0.25">
      <c r="B59" s="4"/>
      <c r="C59" s="5"/>
      <c r="D59" s="6"/>
      <c r="E59" s="6"/>
      <c r="F59" s="4"/>
    </row>
    <row r="60" spans="2:32" x14ac:dyDescent="0.25">
      <c r="B60" s="4"/>
      <c r="C60" s="5"/>
      <c r="D60" s="4"/>
      <c r="E60" s="4"/>
      <c r="F60" s="4"/>
    </row>
    <row r="61" spans="2:32" x14ac:dyDescent="0.25">
      <c r="B61" s="4"/>
      <c r="C61" s="5"/>
      <c r="D61" s="4"/>
      <c r="E61" s="4"/>
      <c r="F61" s="4"/>
    </row>
  </sheetData>
  <sortState ref="B4:I27">
    <sortCondition ref="D4:D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="77" zoomScaleNormal="77" workbookViewId="0">
      <pane xSplit="2" topLeftCell="C1" activePane="topRight" state="frozen"/>
      <selection pane="topRight" activeCell="N13" sqref="N13"/>
    </sheetView>
  </sheetViews>
  <sheetFormatPr defaultRowHeight="15" x14ac:dyDescent="0.25"/>
  <cols>
    <col min="2" max="2" width="36.85546875" customWidth="1"/>
    <col min="3" max="3" width="15.7109375" customWidth="1"/>
    <col min="4" max="5" width="15.28515625" customWidth="1"/>
    <col min="6" max="6" width="18.7109375" customWidth="1"/>
    <col min="7" max="7" width="25.42578125" customWidth="1"/>
    <col min="8" max="8" width="24.7109375" customWidth="1"/>
    <col min="9" max="9" width="13.140625" customWidth="1"/>
  </cols>
  <sheetData>
    <row r="1" spans="1:12" x14ac:dyDescent="0.25">
      <c r="A1" s="41" t="s">
        <v>0</v>
      </c>
      <c r="B1" s="41" t="s">
        <v>1</v>
      </c>
      <c r="C1" s="41" t="s">
        <v>2</v>
      </c>
      <c r="D1" s="41" t="s">
        <v>28</v>
      </c>
      <c r="E1" s="41" t="s">
        <v>32</v>
      </c>
      <c r="F1" s="41" t="s">
        <v>3</v>
      </c>
      <c r="G1" s="41" t="s">
        <v>15</v>
      </c>
      <c r="H1" s="41" t="s">
        <v>16</v>
      </c>
      <c r="I1" s="41" t="s">
        <v>18</v>
      </c>
    </row>
    <row r="2" spans="1:12" x14ac:dyDescent="0.25">
      <c r="A2" s="41">
        <v>0</v>
      </c>
      <c r="B2" s="86" t="s">
        <v>19</v>
      </c>
      <c r="C2" s="1">
        <v>0</v>
      </c>
      <c r="D2" s="1">
        <v>0</v>
      </c>
      <c r="E2" s="1">
        <v>0</v>
      </c>
      <c r="F2" s="15">
        <v>0</v>
      </c>
      <c r="G2" s="84" t="s">
        <v>43</v>
      </c>
      <c r="H2" s="85" t="s">
        <v>44</v>
      </c>
      <c r="I2" s="14">
        <v>99999</v>
      </c>
    </row>
    <row r="3" spans="1:12" x14ac:dyDescent="0.25">
      <c r="A3" s="41">
        <v>1</v>
      </c>
      <c r="B3" s="45" t="s">
        <v>9</v>
      </c>
      <c r="C3" s="21">
        <v>0.27152777777777798</v>
      </c>
      <c r="D3" s="3">
        <f t="shared" ref="D3:D35" si="0">C3*86400</f>
        <v>23460.000000000018</v>
      </c>
      <c r="E3" s="3">
        <f>20*60</f>
        <v>1200</v>
      </c>
      <c r="F3" s="22">
        <v>1</v>
      </c>
      <c r="G3" s="83" t="s">
        <v>45</v>
      </c>
      <c r="H3" s="83" t="s">
        <v>46</v>
      </c>
      <c r="I3" s="2">
        <f t="shared" ref="I3:I35" si="1">D3+2400</f>
        <v>25860.000000000018</v>
      </c>
      <c r="L3" s="13"/>
    </row>
    <row r="4" spans="1:12" x14ac:dyDescent="0.25">
      <c r="A4" s="41">
        <v>2</v>
      </c>
      <c r="B4" s="45" t="s">
        <v>5</v>
      </c>
      <c r="C4" s="21">
        <v>0.27152777777777798</v>
      </c>
      <c r="D4" s="3">
        <f t="shared" si="0"/>
        <v>23460.000000000018</v>
      </c>
      <c r="E4" s="3">
        <f t="shared" ref="E4:E35" si="2">20*60</f>
        <v>1200</v>
      </c>
      <c r="F4" s="22">
        <v>1</v>
      </c>
      <c r="G4" s="83" t="s">
        <v>47</v>
      </c>
      <c r="H4" s="83" t="s">
        <v>48</v>
      </c>
      <c r="I4" s="2">
        <f t="shared" si="1"/>
        <v>25860.000000000018</v>
      </c>
      <c r="L4" s="12"/>
    </row>
    <row r="5" spans="1:12" x14ac:dyDescent="0.25">
      <c r="A5" s="41">
        <v>3</v>
      </c>
      <c r="B5" s="45" t="s">
        <v>34</v>
      </c>
      <c r="C5" s="21">
        <v>0.27569444444444502</v>
      </c>
      <c r="D5" s="3">
        <f t="shared" si="0"/>
        <v>23820.000000000051</v>
      </c>
      <c r="E5" s="3">
        <f t="shared" si="2"/>
        <v>1200</v>
      </c>
      <c r="F5" s="22">
        <v>1</v>
      </c>
      <c r="G5" s="83" t="s">
        <v>105</v>
      </c>
      <c r="H5" s="83" t="s">
        <v>106</v>
      </c>
      <c r="I5" s="2">
        <f t="shared" si="1"/>
        <v>26220.000000000051</v>
      </c>
      <c r="L5" s="12"/>
    </row>
    <row r="6" spans="1:12" x14ac:dyDescent="0.25">
      <c r="A6" s="41">
        <v>4</v>
      </c>
      <c r="B6" s="45" t="s">
        <v>40</v>
      </c>
      <c r="C6" s="21">
        <v>0.28263888888888899</v>
      </c>
      <c r="D6" s="3">
        <f t="shared" si="0"/>
        <v>24420.000000000011</v>
      </c>
      <c r="E6" s="3">
        <f t="shared" si="2"/>
        <v>1200</v>
      </c>
      <c r="F6" s="22">
        <v>1</v>
      </c>
      <c r="G6" s="83" t="s">
        <v>49</v>
      </c>
      <c r="H6" s="83" t="s">
        <v>50</v>
      </c>
      <c r="I6" s="2">
        <f t="shared" si="1"/>
        <v>26820.000000000011</v>
      </c>
      <c r="L6" s="12"/>
    </row>
    <row r="7" spans="1:12" x14ac:dyDescent="0.25">
      <c r="A7" s="41">
        <v>5</v>
      </c>
      <c r="B7" s="45" t="s">
        <v>22</v>
      </c>
      <c r="C7" s="21">
        <v>0.28958333333333303</v>
      </c>
      <c r="D7" s="3">
        <f t="shared" si="0"/>
        <v>25019.999999999975</v>
      </c>
      <c r="E7" s="3">
        <f t="shared" si="2"/>
        <v>1200</v>
      </c>
      <c r="F7" s="22">
        <v>1</v>
      </c>
      <c r="G7" s="83" t="s">
        <v>51</v>
      </c>
      <c r="H7" s="83" t="s">
        <v>52</v>
      </c>
      <c r="I7" s="2">
        <f t="shared" si="1"/>
        <v>27419.999999999975</v>
      </c>
      <c r="L7" s="12"/>
    </row>
    <row r="8" spans="1:12" x14ac:dyDescent="0.25">
      <c r="A8" s="41">
        <v>6</v>
      </c>
      <c r="B8" s="45" t="s">
        <v>8</v>
      </c>
      <c r="C8" s="21">
        <v>0.29375000000000001</v>
      </c>
      <c r="D8" s="3">
        <f t="shared" si="0"/>
        <v>25380</v>
      </c>
      <c r="E8" s="3">
        <f t="shared" si="2"/>
        <v>1200</v>
      </c>
      <c r="F8" s="22">
        <v>1</v>
      </c>
      <c r="G8" s="83" t="s">
        <v>53</v>
      </c>
      <c r="H8" s="83" t="s">
        <v>54</v>
      </c>
      <c r="I8" s="2">
        <f t="shared" si="1"/>
        <v>27780</v>
      </c>
      <c r="L8" s="12"/>
    </row>
    <row r="9" spans="1:12" x14ac:dyDescent="0.25">
      <c r="A9" s="41">
        <v>7</v>
      </c>
      <c r="B9" s="45" t="s">
        <v>20</v>
      </c>
      <c r="C9" s="21">
        <v>0.29513888888888901</v>
      </c>
      <c r="D9" s="3">
        <f t="shared" si="0"/>
        <v>25500.000000000011</v>
      </c>
      <c r="E9" s="3">
        <f t="shared" si="2"/>
        <v>1200</v>
      </c>
      <c r="F9" s="22">
        <v>1</v>
      </c>
      <c r="G9" s="83" t="s">
        <v>55</v>
      </c>
      <c r="H9" s="83" t="s">
        <v>56</v>
      </c>
      <c r="I9" s="2">
        <f t="shared" si="1"/>
        <v>27900.000000000011</v>
      </c>
      <c r="L9" s="12"/>
    </row>
    <row r="10" spans="1:12" x14ac:dyDescent="0.25">
      <c r="A10" s="41">
        <v>8</v>
      </c>
      <c r="B10" s="45" t="s">
        <v>26</v>
      </c>
      <c r="C10" s="21">
        <v>0.295833333333333</v>
      </c>
      <c r="D10" s="3">
        <f t="shared" si="0"/>
        <v>25559.999999999971</v>
      </c>
      <c r="E10" s="3">
        <f t="shared" si="2"/>
        <v>1200</v>
      </c>
      <c r="F10" s="22">
        <v>1</v>
      </c>
      <c r="G10" s="83" t="s">
        <v>57</v>
      </c>
      <c r="H10" s="83" t="s">
        <v>58</v>
      </c>
      <c r="I10" s="2">
        <f t="shared" si="1"/>
        <v>27959.999999999971</v>
      </c>
      <c r="L10" s="12"/>
    </row>
    <row r="11" spans="1:12" x14ac:dyDescent="0.25">
      <c r="A11" s="41">
        <v>9</v>
      </c>
      <c r="B11" s="45" t="s">
        <v>37</v>
      </c>
      <c r="C11" s="21">
        <v>0.30416666666666697</v>
      </c>
      <c r="D11" s="3">
        <f t="shared" si="0"/>
        <v>26280.000000000025</v>
      </c>
      <c r="E11" s="3">
        <f t="shared" si="2"/>
        <v>1200</v>
      </c>
      <c r="F11" s="22">
        <v>1</v>
      </c>
      <c r="G11" s="83" t="s">
        <v>59</v>
      </c>
      <c r="H11" s="83" t="s">
        <v>60</v>
      </c>
      <c r="I11" s="2">
        <f t="shared" si="1"/>
        <v>28680.000000000025</v>
      </c>
      <c r="L11" s="12"/>
    </row>
    <row r="12" spans="1:12" x14ac:dyDescent="0.25">
      <c r="A12" s="41">
        <v>10</v>
      </c>
      <c r="B12" s="45" t="s">
        <v>7</v>
      </c>
      <c r="C12" s="21">
        <v>0.30416666666666697</v>
      </c>
      <c r="D12" s="3">
        <f t="shared" si="0"/>
        <v>26280.000000000025</v>
      </c>
      <c r="E12" s="3">
        <f t="shared" si="2"/>
        <v>1200</v>
      </c>
      <c r="F12" s="22">
        <v>1</v>
      </c>
      <c r="G12" s="83" t="s">
        <v>61</v>
      </c>
      <c r="H12" s="83" t="s">
        <v>62</v>
      </c>
      <c r="I12" s="2">
        <f t="shared" si="1"/>
        <v>28680.000000000025</v>
      </c>
      <c r="L12" s="12"/>
    </row>
    <row r="13" spans="1:12" x14ac:dyDescent="0.25">
      <c r="A13" s="41">
        <v>11</v>
      </c>
      <c r="B13" s="45" t="s">
        <v>12</v>
      </c>
      <c r="C13" s="21">
        <v>0.30555555555555602</v>
      </c>
      <c r="D13" s="3">
        <f t="shared" si="0"/>
        <v>26400.00000000004</v>
      </c>
      <c r="E13" s="3">
        <f t="shared" si="2"/>
        <v>1200</v>
      </c>
      <c r="F13" s="22">
        <v>2</v>
      </c>
      <c r="G13" s="83" t="s">
        <v>63</v>
      </c>
      <c r="H13" s="83" t="s">
        <v>64</v>
      </c>
      <c r="I13" s="2">
        <f t="shared" si="1"/>
        <v>28800.00000000004</v>
      </c>
      <c r="L13" s="12"/>
    </row>
    <row r="14" spans="1:12" x14ac:dyDescent="0.25">
      <c r="A14" s="41">
        <v>12</v>
      </c>
      <c r="B14" s="45" t="s">
        <v>10</v>
      </c>
      <c r="C14" s="21">
        <v>0.30625000000000002</v>
      </c>
      <c r="D14" s="3">
        <f t="shared" si="0"/>
        <v>26460.000000000004</v>
      </c>
      <c r="E14" s="3">
        <f t="shared" si="2"/>
        <v>1200</v>
      </c>
      <c r="F14" s="22">
        <v>2</v>
      </c>
      <c r="G14" s="83" t="s">
        <v>65</v>
      </c>
      <c r="H14" s="83" t="s">
        <v>66</v>
      </c>
      <c r="I14" s="2">
        <f t="shared" si="1"/>
        <v>28860.000000000004</v>
      </c>
      <c r="L14" s="12"/>
    </row>
    <row r="15" spans="1:12" x14ac:dyDescent="0.25">
      <c r="A15" s="41">
        <v>13</v>
      </c>
      <c r="B15" s="45" t="s">
        <v>23</v>
      </c>
      <c r="C15" s="21">
        <v>0.31736111111111098</v>
      </c>
      <c r="D15" s="3">
        <f t="shared" si="0"/>
        <v>27419.999999999989</v>
      </c>
      <c r="E15" s="3">
        <f t="shared" si="2"/>
        <v>1200</v>
      </c>
      <c r="F15" s="22">
        <v>3</v>
      </c>
      <c r="G15" s="83" t="s">
        <v>67</v>
      </c>
      <c r="H15" s="83" t="s">
        <v>68</v>
      </c>
      <c r="I15" s="2">
        <f t="shared" si="1"/>
        <v>29819.999999999989</v>
      </c>
      <c r="L15" s="12"/>
    </row>
    <row r="16" spans="1:12" x14ac:dyDescent="0.25">
      <c r="A16" s="41">
        <v>14</v>
      </c>
      <c r="B16" s="45" t="s">
        <v>22</v>
      </c>
      <c r="C16" s="21">
        <v>0.31874999999999998</v>
      </c>
      <c r="D16" s="3">
        <f t="shared" si="0"/>
        <v>27539.999999999996</v>
      </c>
      <c r="E16" s="3">
        <f t="shared" si="2"/>
        <v>1200</v>
      </c>
      <c r="F16" s="22">
        <v>2</v>
      </c>
      <c r="G16" s="83" t="s">
        <v>51</v>
      </c>
      <c r="H16" s="83" t="s">
        <v>52</v>
      </c>
      <c r="I16" s="2">
        <f t="shared" si="1"/>
        <v>29939.999999999996</v>
      </c>
      <c r="L16" s="12"/>
    </row>
    <row r="17" spans="1:12" x14ac:dyDescent="0.25">
      <c r="A17" s="41">
        <v>15</v>
      </c>
      <c r="B17" s="45" t="s">
        <v>35</v>
      </c>
      <c r="C17" s="21">
        <v>0.31944444444444398</v>
      </c>
      <c r="D17" s="3">
        <f t="shared" si="0"/>
        <v>27599.99999999996</v>
      </c>
      <c r="E17" s="3">
        <f t="shared" si="2"/>
        <v>1200</v>
      </c>
      <c r="F17" s="22">
        <v>1</v>
      </c>
      <c r="G17" s="83" t="s">
        <v>69</v>
      </c>
      <c r="H17" s="83" t="s">
        <v>70</v>
      </c>
      <c r="I17" s="2">
        <f t="shared" si="1"/>
        <v>29999.99999999996</v>
      </c>
      <c r="L17" s="12"/>
    </row>
    <row r="18" spans="1:12" x14ac:dyDescent="0.25">
      <c r="A18" s="41">
        <v>16</v>
      </c>
      <c r="B18" s="45" t="s">
        <v>8</v>
      </c>
      <c r="C18" s="21">
        <v>0.32013888888888897</v>
      </c>
      <c r="D18" s="3">
        <f t="shared" si="0"/>
        <v>27660.000000000007</v>
      </c>
      <c r="E18" s="3">
        <f t="shared" si="2"/>
        <v>1200</v>
      </c>
      <c r="F18" s="22">
        <v>1</v>
      </c>
      <c r="G18" s="83" t="s">
        <v>53</v>
      </c>
      <c r="H18" s="83" t="s">
        <v>54</v>
      </c>
      <c r="I18" s="2">
        <f t="shared" si="1"/>
        <v>30060.000000000007</v>
      </c>
      <c r="L18" s="12"/>
    </row>
    <row r="19" spans="1:12" x14ac:dyDescent="0.25">
      <c r="A19" s="41">
        <v>17</v>
      </c>
      <c r="B19" s="45" t="s">
        <v>4</v>
      </c>
      <c r="C19" s="21">
        <v>0.32222222222222202</v>
      </c>
      <c r="D19" s="3">
        <f t="shared" si="0"/>
        <v>27839.999999999982</v>
      </c>
      <c r="E19" s="3">
        <f t="shared" si="2"/>
        <v>1200</v>
      </c>
      <c r="F19" s="22">
        <v>1</v>
      </c>
      <c r="G19" s="83" t="s">
        <v>71</v>
      </c>
      <c r="H19" s="83" t="s">
        <v>72</v>
      </c>
      <c r="I19" s="2">
        <f t="shared" si="1"/>
        <v>30239.999999999982</v>
      </c>
      <c r="L19" s="12"/>
    </row>
    <row r="20" spans="1:12" x14ac:dyDescent="0.25">
      <c r="A20" s="41">
        <v>18</v>
      </c>
      <c r="B20" s="45" t="s">
        <v>73</v>
      </c>
      <c r="C20" s="21">
        <v>0.32222222222222202</v>
      </c>
      <c r="D20" s="3">
        <f t="shared" si="0"/>
        <v>27839.999999999982</v>
      </c>
      <c r="E20" s="3">
        <f t="shared" si="2"/>
        <v>1200</v>
      </c>
      <c r="F20" s="22">
        <v>2</v>
      </c>
      <c r="G20" s="83" t="s">
        <v>74</v>
      </c>
      <c r="H20" s="83" t="s">
        <v>75</v>
      </c>
      <c r="I20" s="2">
        <f t="shared" si="1"/>
        <v>30239.999999999982</v>
      </c>
      <c r="L20" s="12"/>
    </row>
    <row r="21" spans="1:12" x14ac:dyDescent="0.25">
      <c r="A21" s="41">
        <v>19</v>
      </c>
      <c r="B21" s="45" t="s">
        <v>36</v>
      </c>
      <c r="C21" s="21">
        <v>0.32500000000000001</v>
      </c>
      <c r="D21" s="3">
        <f t="shared" si="0"/>
        <v>28080</v>
      </c>
      <c r="E21" s="3">
        <f t="shared" si="2"/>
        <v>1200</v>
      </c>
      <c r="F21" s="22">
        <v>2</v>
      </c>
      <c r="G21" s="83" t="s">
        <v>76</v>
      </c>
      <c r="H21" s="83" t="s">
        <v>77</v>
      </c>
      <c r="I21" s="2">
        <f t="shared" si="1"/>
        <v>30480</v>
      </c>
      <c r="L21" s="12"/>
    </row>
    <row r="22" spans="1:12" x14ac:dyDescent="0.25">
      <c r="A22" s="41">
        <v>20</v>
      </c>
      <c r="B22" s="45" t="s">
        <v>29</v>
      </c>
      <c r="C22" s="21">
        <v>0.33263888888888898</v>
      </c>
      <c r="D22" s="3">
        <f t="shared" si="0"/>
        <v>28740.000000000007</v>
      </c>
      <c r="E22" s="3">
        <f t="shared" si="2"/>
        <v>1200</v>
      </c>
      <c r="F22" s="22">
        <v>1</v>
      </c>
      <c r="G22" s="83" t="s">
        <v>78</v>
      </c>
      <c r="H22" s="83" t="s">
        <v>79</v>
      </c>
      <c r="I22" s="2">
        <f t="shared" si="1"/>
        <v>31140.000000000007</v>
      </c>
      <c r="L22" s="12"/>
    </row>
    <row r="23" spans="1:12" x14ac:dyDescent="0.25">
      <c r="A23" s="41">
        <v>21</v>
      </c>
      <c r="B23" s="45" t="s">
        <v>14</v>
      </c>
      <c r="C23" s="21">
        <v>0.33472222222222198</v>
      </c>
      <c r="D23" s="3">
        <f t="shared" si="0"/>
        <v>28919.999999999978</v>
      </c>
      <c r="E23" s="3">
        <f t="shared" si="2"/>
        <v>1200</v>
      </c>
      <c r="F23" s="22">
        <v>1</v>
      </c>
      <c r="G23" s="83" t="s">
        <v>80</v>
      </c>
      <c r="H23" s="83" t="s">
        <v>81</v>
      </c>
      <c r="I23" s="2">
        <f t="shared" si="1"/>
        <v>31319.999999999978</v>
      </c>
      <c r="L23" s="12"/>
    </row>
    <row r="24" spans="1:12" x14ac:dyDescent="0.25">
      <c r="A24" s="41">
        <v>22</v>
      </c>
      <c r="B24" s="45" t="s">
        <v>84</v>
      </c>
      <c r="C24" s="21">
        <v>0.33541666666666697</v>
      </c>
      <c r="D24" s="3">
        <f t="shared" si="0"/>
        <v>28980.000000000025</v>
      </c>
      <c r="E24" s="3">
        <f t="shared" si="2"/>
        <v>1200</v>
      </c>
      <c r="F24" s="22">
        <v>3</v>
      </c>
      <c r="G24" s="83" t="s">
        <v>83</v>
      </c>
      <c r="H24" s="83" t="s">
        <v>82</v>
      </c>
      <c r="I24" s="2">
        <f t="shared" si="1"/>
        <v>31380.000000000025</v>
      </c>
      <c r="L24" s="12"/>
    </row>
    <row r="25" spans="1:12" x14ac:dyDescent="0.25">
      <c r="A25" s="41">
        <v>23</v>
      </c>
      <c r="B25" s="45" t="s">
        <v>27</v>
      </c>
      <c r="C25" s="21">
        <v>0.33680555555555602</v>
      </c>
      <c r="D25" s="3">
        <f t="shared" si="0"/>
        <v>29100.00000000004</v>
      </c>
      <c r="E25" s="3">
        <f t="shared" si="2"/>
        <v>1200</v>
      </c>
      <c r="F25" s="22">
        <v>1</v>
      </c>
      <c r="G25" s="83" t="s">
        <v>85</v>
      </c>
      <c r="H25" s="83" t="s">
        <v>86</v>
      </c>
      <c r="I25" s="2">
        <f t="shared" si="1"/>
        <v>31500.00000000004</v>
      </c>
      <c r="L25" s="12"/>
    </row>
    <row r="26" spans="1:12" x14ac:dyDescent="0.25">
      <c r="A26" s="41">
        <v>24</v>
      </c>
      <c r="B26" s="45" t="s">
        <v>25</v>
      </c>
      <c r="C26" s="21">
        <v>0.34236111111111101</v>
      </c>
      <c r="D26" s="3">
        <f t="shared" si="0"/>
        <v>29579.999999999989</v>
      </c>
      <c r="E26" s="3">
        <f t="shared" si="2"/>
        <v>1200</v>
      </c>
      <c r="F26" s="22">
        <v>1</v>
      </c>
      <c r="G26" s="83" t="s">
        <v>87</v>
      </c>
      <c r="H26" s="83" t="s">
        <v>88</v>
      </c>
      <c r="I26" s="2">
        <f t="shared" si="1"/>
        <v>31979.999999999989</v>
      </c>
      <c r="L26" s="12"/>
    </row>
    <row r="27" spans="1:12" x14ac:dyDescent="0.25">
      <c r="A27" s="41">
        <v>25</v>
      </c>
      <c r="B27" s="45" t="s">
        <v>21</v>
      </c>
      <c r="C27" s="21">
        <v>0.344444444444444</v>
      </c>
      <c r="D27" s="3">
        <f t="shared" si="0"/>
        <v>29759.99999999996</v>
      </c>
      <c r="E27" s="3">
        <f t="shared" si="2"/>
        <v>1200</v>
      </c>
      <c r="F27" s="22">
        <v>1</v>
      </c>
      <c r="G27" s="83" t="s">
        <v>89</v>
      </c>
      <c r="H27" s="83" t="s">
        <v>90</v>
      </c>
      <c r="I27" s="2">
        <f t="shared" si="1"/>
        <v>32159.99999999996</v>
      </c>
      <c r="L27" s="12"/>
    </row>
    <row r="28" spans="1:12" x14ac:dyDescent="0.25">
      <c r="A28" s="41">
        <v>26</v>
      </c>
      <c r="B28" s="45" t="s">
        <v>6</v>
      </c>
      <c r="C28" s="21">
        <v>0.35</v>
      </c>
      <c r="D28" s="3">
        <f t="shared" si="0"/>
        <v>30239.999999999996</v>
      </c>
      <c r="E28" s="3">
        <f t="shared" si="2"/>
        <v>1200</v>
      </c>
      <c r="F28" s="22">
        <v>1</v>
      </c>
      <c r="G28" s="83" t="s">
        <v>91</v>
      </c>
      <c r="H28" s="83" t="s">
        <v>92</v>
      </c>
      <c r="I28" s="2">
        <f t="shared" si="1"/>
        <v>32639.999999999996</v>
      </c>
    </row>
    <row r="29" spans="1:12" x14ac:dyDescent="0.25">
      <c r="A29" s="41">
        <v>27</v>
      </c>
      <c r="B29" s="45" t="s">
        <v>11</v>
      </c>
      <c r="C29" s="21">
        <v>0.3611111111111111</v>
      </c>
      <c r="D29" s="3">
        <f t="shared" si="0"/>
        <v>31200</v>
      </c>
      <c r="E29" s="3">
        <f t="shared" si="2"/>
        <v>1200</v>
      </c>
      <c r="F29" s="22">
        <v>1</v>
      </c>
      <c r="G29" s="83" t="s">
        <v>93</v>
      </c>
      <c r="H29" s="83" t="s">
        <v>94</v>
      </c>
      <c r="I29" s="2">
        <f t="shared" si="1"/>
        <v>33600</v>
      </c>
    </row>
    <row r="30" spans="1:12" x14ac:dyDescent="0.25">
      <c r="A30" s="41">
        <v>28</v>
      </c>
      <c r="B30" s="45" t="s">
        <v>13</v>
      </c>
      <c r="C30" s="21">
        <v>0.37152777777777801</v>
      </c>
      <c r="D30" s="3">
        <f t="shared" si="0"/>
        <v>32100.000000000022</v>
      </c>
      <c r="E30" s="3">
        <f t="shared" si="2"/>
        <v>1200</v>
      </c>
      <c r="F30" s="22">
        <v>1</v>
      </c>
      <c r="G30" s="83" t="s">
        <v>95</v>
      </c>
      <c r="H30" s="83" t="s">
        <v>96</v>
      </c>
      <c r="I30" s="2">
        <f t="shared" si="1"/>
        <v>34500.000000000022</v>
      </c>
    </row>
    <row r="31" spans="1:12" x14ac:dyDescent="0.25">
      <c r="A31" s="41">
        <v>29</v>
      </c>
      <c r="B31" s="45" t="s">
        <v>24</v>
      </c>
      <c r="C31" s="21">
        <v>0.37222222222222201</v>
      </c>
      <c r="D31" s="3">
        <f t="shared" si="0"/>
        <v>32159.999999999982</v>
      </c>
      <c r="E31" s="3">
        <f t="shared" si="2"/>
        <v>1200</v>
      </c>
      <c r="F31" s="22">
        <v>1</v>
      </c>
      <c r="G31" s="83" t="s">
        <v>97</v>
      </c>
      <c r="H31" s="83" t="s">
        <v>98</v>
      </c>
      <c r="I31" s="2">
        <f t="shared" si="1"/>
        <v>34559.999999999985</v>
      </c>
    </row>
    <row r="32" spans="1:12" x14ac:dyDescent="0.25">
      <c r="A32" s="41">
        <v>30</v>
      </c>
      <c r="B32" s="45" t="s">
        <v>17</v>
      </c>
      <c r="C32" s="21">
        <v>0.37361111111111101</v>
      </c>
      <c r="D32" s="3">
        <f t="shared" si="0"/>
        <v>32279.999999999989</v>
      </c>
      <c r="E32" s="3">
        <f t="shared" si="2"/>
        <v>1200</v>
      </c>
      <c r="F32" s="22">
        <v>2</v>
      </c>
      <c r="G32" s="83" t="s">
        <v>99</v>
      </c>
      <c r="H32" s="83" t="s">
        <v>100</v>
      </c>
      <c r="I32" s="2">
        <f t="shared" si="1"/>
        <v>34679.999999999985</v>
      </c>
    </row>
    <row r="33" spans="1:9" x14ac:dyDescent="0.25">
      <c r="A33" s="41">
        <v>31</v>
      </c>
      <c r="B33" s="45" t="s">
        <v>33</v>
      </c>
      <c r="C33" s="21">
        <v>0.38541666666666702</v>
      </c>
      <c r="D33" s="3">
        <f t="shared" si="0"/>
        <v>33300.000000000029</v>
      </c>
      <c r="E33" s="3">
        <f t="shared" si="2"/>
        <v>1200</v>
      </c>
      <c r="F33" s="22">
        <v>1</v>
      </c>
      <c r="G33" s="83" t="s">
        <v>101</v>
      </c>
      <c r="H33" s="83" t="s">
        <v>102</v>
      </c>
      <c r="I33" s="2">
        <f t="shared" si="1"/>
        <v>35700.000000000029</v>
      </c>
    </row>
    <row r="34" spans="1:9" x14ac:dyDescent="0.25">
      <c r="A34" s="41">
        <v>32</v>
      </c>
      <c r="B34" s="45" t="s">
        <v>38</v>
      </c>
      <c r="C34" s="21">
        <v>0.3888888888888889</v>
      </c>
      <c r="D34" s="3">
        <f t="shared" si="0"/>
        <v>33600</v>
      </c>
      <c r="E34" s="3">
        <f t="shared" si="2"/>
        <v>1200</v>
      </c>
      <c r="F34" s="22">
        <v>1</v>
      </c>
      <c r="G34" s="83" t="s">
        <v>103</v>
      </c>
      <c r="H34" s="83" t="s">
        <v>104</v>
      </c>
      <c r="I34" s="2">
        <f t="shared" si="1"/>
        <v>36000</v>
      </c>
    </row>
    <row r="35" spans="1:9" x14ac:dyDescent="0.25">
      <c r="A35" s="41">
        <v>33</v>
      </c>
      <c r="B35" s="45" t="s">
        <v>24</v>
      </c>
      <c r="C35" s="21">
        <v>0.40069444444444446</v>
      </c>
      <c r="D35" s="3">
        <f t="shared" si="0"/>
        <v>34620</v>
      </c>
      <c r="E35" s="3">
        <f t="shared" si="2"/>
        <v>1200</v>
      </c>
      <c r="F35" s="22">
        <v>1</v>
      </c>
      <c r="G35" s="83" t="s">
        <v>97</v>
      </c>
      <c r="H35" s="83" t="s">
        <v>98</v>
      </c>
      <c r="I35" s="2">
        <f t="shared" si="1"/>
        <v>37020</v>
      </c>
    </row>
  </sheetData>
  <sortState ref="A2:H28">
    <sortCondition ref="C2:C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2026-04-11T09:01:29Z</dcterms:created>
  <dcterms:modified xsi:type="dcterms:W3CDTF">2026-07-17T14:44:48Z</dcterms:modified>
</cp:coreProperties>
</file>